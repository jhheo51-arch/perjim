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토스 사례" sheetId="1" state="visible" r:id="rId1"/>
    <sheet xmlns:r="http://schemas.openxmlformats.org/officeDocument/2006/relationships" name="자료 적용" sheetId="2" state="visible" r:id="rId2"/>
    <sheet xmlns:r="http://schemas.openxmlformats.org/officeDocument/2006/relationships" name="기능과 검증" sheetId="3" state="visible" r:id="rId3"/>
    <sheet xmlns:r="http://schemas.openxmlformats.org/officeDocument/2006/relationships" name="키워드 자료" sheetId="4" state="visible" r:id="rId4"/>
    <sheet xmlns:r="http://schemas.openxmlformats.org/officeDocument/2006/relationships" name="통계 기록" sheetId="5" state="visible" r:id="rId5"/>
  </sheets>
  <definedNames>
    <definedName name="_xlnm._FilterDatabase" localSheetId="0" hidden="1">'토스 사례'!$A$5:$F$22</definedName>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5">
    <font>
      <name val="Calibri"/>
      <family val="2"/>
      <color theme="1"/>
      <sz val="11"/>
      <scheme val="minor"/>
    </font>
    <font>
      <name val="맑은 고딕"/>
      <b val="1"/>
      <color rgb="00243247"/>
      <sz val="16"/>
    </font>
    <font>
      <name val="맑은 고딕"/>
      <b val="1"/>
      <color rgb="00FFFFFF"/>
      <sz val="10"/>
    </font>
    <font>
      <name val="Calibri"/>
      <family val="2"/>
      <color theme="10"/>
      <sz val="12"/>
      <scheme val="minor"/>
    </font>
    <font>
      <name val="맑은 고딕"/>
      <color rgb="00243247"/>
      <sz val="10"/>
    </font>
  </fonts>
  <fills count="5">
    <fill>
      <patternFill/>
    </fill>
    <fill>
      <patternFill patternType="gray125"/>
    </fill>
    <fill>
      <patternFill patternType="solid">
        <fgColor rgb="00243B65"/>
      </patternFill>
    </fill>
    <fill>
      <patternFill patternType="solid">
        <fgColor rgb="00FFF3D1"/>
      </patternFill>
    </fill>
    <fill>
      <patternFill patternType="solid">
        <fgColor rgb="00FFF9EB"/>
      </patternFill>
    </fill>
  </fills>
  <borders count="2">
    <border>
      <left/>
      <right/>
      <top/>
      <bottom/>
      <diagonal/>
    </border>
    <border>
      <bottom style="thin">
        <color rgb="00DAE1EC"/>
      </bottom>
    </border>
  </borders>
  <cellStyleXfs count="2">
    <xf numFmtId="0" fontId="0" fillId="0" borderId="0"/>
    <xf numFmtId="0" fontId="3"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4" fillId="0" borderId="1" applyAlignment="1" pivotButton="0" quotePrefix="0" xfId="0">
      <alignment vertical="top" wrapText="1"/>
    </xf>
    <xf numFmtId="0" fontId="4" fillId="0" borderId="1" applyAlignment="1" pivotButton="0" quotePrefix="0" xfId="1">
      <alignment vertical="top" wrapText="1"/>
    </xf>
    <xf numFmtId="0" fontId="0" fillId="3" borderId="0" pivotButton="0" quotePrefix="0" xfId="0"/>
    <xf numFmtId="164" fontId="4" fillId="4" borderId="1" applyAlignment="1" pivotButton="0" quotePrefix="0" xfId="0">
      <alignment vertical="top" wrapText="1"/>
    </xf>
    <xf numFmtId="0" fontId="4" fillId="4" borderId="1" applyAlignment="1" pivotButton="0" quotePrefix="0" xfId="0">
      <alignment vertical="top" wrapText="1"/>
    </xf>
    <xf numFmtId="10" fontId="4" fillId="0" borderId="1" applyAlignment="1" pivotButton="0" quotePrefix="0" xfId="0">
      <alignment vertical="top" wrapText="1"/>
    </xf>
    <xf numFmtId="164" fontId="4" fillId="0"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oss.im/tossfeed/article/moneybook" TargetMode="External" Id="rId1"/><Relationship Type="http://schemas.openxmlformats.org/officeDocument/2006/relationships/hyperlink" Target="https://toss.im/tossfeed/article/outsight-themoneybook" TargetMode="External" Id="rId2"/><Relationship Type="http://schemas.openxmlformats.org/officeDocument/2006/relationships/hyperlink" Target="https://toss.im/tossfeed/article/outsight-themoneybook" TargetMode="External" Id="rId3"/><Relationship Type="http://schemas.openxmlformats.org/officeDocument/2006/relationships/hyperlink" Target="https://toss.im/tossfeed/article/moneybook" TargetMode="External" Id="rId4"/><Relationship Type="http://schemas.openxmlformats.org/officeDocument/2006/relationships/hyperlink" Target="https://toss.im/tossfeed/article/outsight-themoneybook" TargetMode="External" Id="rId5"/><Relationship Type="http://schemas.openxmlformats.org/officeDocument/2006/relationships/hyperlink" Target="https://toss.im/tossfeed/edition/the-money-book" TargetMode="External" Id="rId6"/><Relationship Type="http://schemas.openxmlformats.org/officeDocument/2006/relationships/hyperlink" Target="https://toss.im/tossfeed/article/outsight-themoneybook" TargetMode="External" Id="rId7"/></Relationships>
</file>

<file path=xl/worksheets/_rels/sheet2.xml.rels><Relationships xmlns="http://schemas.openxmlformats.org/package/2006/relationships"><Relationship Type="http://schemas.openxmlformats.org/officeDocument/2006/relationships/hyperlink" Target="https://toss.tech/article/21022" TargetMode="External" Id="rId1"/><Relationship Type="http://schemas.openxmlformats.org/officeDocument/2006/relationships/hyperlink" Target="https://toss.tech/article/undercover-silo-3" TargetMode="External" Id="rId2"/><Relationship Type="http://schemas.openxmlformats.org/officeDocument/2006/relationships/hyperlink" Target="https://toss.tech/article/41147" TargetMode="External" Id="rId3"/><Relationship Type="http://schemas.openxmlformats.org/officeDocument/2006/relationships/hyperlink" Target="https://toss.im/tossfeed/article/findyoursafezone-2d" TargetMode="External" Id="rId4"/><Relationship Type="http://schemas.openxmlformats.org/officeDocument/2006/relationships/hyperlink" Target="https://toss.im/en-us/company" TargetMode="External" Id="rId5"/></Relationships>
</file>

<file path=xl/worksheets/sheet1.xml><?xml version="1.0" encoding="utf-8"?>
<worksheet xmlns="http://schemas.openxmlformats.org/spreadsheetml/2006/main">
  <sheetPr>
    <outlinePr summaryBelow="1" summaryRight="1"/>
    <pageSetUpPr fitToPage="1"/>
  </sheetPr>
  <dimension ref="A2:F22"/>
  <sheetViews>
    <sheetView showGridLines="0" workbookViewId="0">
      <pane ySplit="5" topLeftCell="A6" activePane="bottomLeft" state="frozen"/>
      <selection pane="bottomLeft" activeCell="A1" sqref="A1"/>
    </sheetView>
  </sheetViews>
  <sheetFormatPr baseColWidth="8" defaultRowHeight="15"/>
  <cols>
    <col width="18" customWidth="1" min="1" max="1"/>
    <col width="27" customWidth="1" min="2" max="2"/>
    <col width="58" customWidth="1" min="3" max="3"/>
    <col width="28" customWidth="1" min="4" max="4"/>
    <col width="50" customWidth="1" min="5" max="5"/>
    <col width="48" customWidth="1" min="6" max="6"/>
  </cols>
  <sheetData>
    <row r="2">
      <c r="A2" s="1" t="inlineStr">
        <is>
          <t>토스 머니북 브랜드 분석</t>
        </is>
      </c>
    </row>
    <row r="3">
      <c r="A3" t="inlineStr">
        <is>
          <t>2024년 사례, 자료 확인 2026-10-08, 공식 자료를 읽은 독립 분석이며 실행 성과는 아닙니다.</t>
        </is>
      </c>
    </row>
    <row r="5" ht="30" customHeight="1">
      <c r="A5" s="2" t="inlineStr">
        <is>
          <t>구분</t>
        </is>
      </c>
      <c r="B5" s="2" t="inlineStr">
        <is>
          <t>항목</t>
        </is>
      </c>
      <c r="C5" s="2" t="inlineStr">
        <is>
          <t>값 또는 판단</t>
        </is>
      </c>
      <c r="D5" s="2" t="inlineStr">
        <is>
          <t>시점 또는 단위</t>
        </is>
      </c>
      <c r="E5" s="2" t="inlineStr">
        <is>
          <t>해석 범위</t>
        </is>
      </c>
      <c r="F5" s="2" t="inlineStr">
        <is>
          <t>출처 주소</t>
        </is>
      </c>
    </row>
    <row r="6" ht="92" customHeight="1">
      <c r="A6" s="3" t="inlineStr">
        <is>
          <t>공식 수치</t>
        </is>
      </c>
      <c r="B6" s="3" t="inlineStr">
        <is>
          <t>구성한 금융 질문</t>
        </is>
      </c>
      <c r="C6" s="3" t="n">
        <v>100</v>
      </c>
      <c r="D6" s="3" t="inlineStr">
        <is>
          <t>2024-05-23 출간 발표, 개</t>
        </is>
      </c>
      <c r="E6" s="3" t="inlineStr">
        <is>
          <t>콘텐츠 구성 수이며 참여 성과가 아닙니다.</t>
        </is>
      </c>
      <c r="F6" s="4" t="inlineStr">
        <is>
          <t>https://toss.im/tossfeed/article/moneybook</t>
        </is>
      </c>
    </row>
    <row r="7" ht="92" customHeight="1">
      <c r="A7" s="3" t="inlineStr">
        <is>
          <t>공식 수치</t>
        </is>
      </c>
      <c r="B7" s="3" t="inlineStr">
        <is>
          <t>출간 1개월 반 판매</t>
        </is>
      </c>
      <c r="C7" s="3" t="n">
        <v>50000</v>
      </c>
      <c r="D7" s="3" t="inlineStr">
        <is>
          <t>2024-08-16 회고에 실린 집계, 초과 부</t>
        </is>
      </c>
      <c r="E7" s="3" t="inlineStr">
        <is>
          <t>토스 자체 발표. SNS에 의한 판매 비중은 확인하지 못함.</t>
        </is>
      </c>
      <c r="F7" s="4" t="inlineStr">
        <is>
          <t>https://toss.im/tossfeed/article/outsight-themoneybook</t>
        </is>
      </c>
    </row>
    <row r="8" ht="92" customHeight="1">
      <c r="A8" s="3" t="inlineStr">
        <is>
          <t>공식 수치</t>
        </is>
      </c>
      <c r="B8" s="3" t="inlineStr">
        <is>
          <t>머니그라피 특별편 조회</t>
        </is>
      </c>
      <c r="C8" s="3" t="n">
        <v>230000</v>
      </c>
      <c r="D8" s="3" t="inlineStr">
        <is>
          <t>2024-08-16 회고 당시, 회</t>
        </is>
      </c>
      <c r="E8" s="3" t="inlineStr">
        <is>
          <t>당시 발표 수치. 현재 조회와 유료 노출 비중은 확인하지 못함.</t>
        </is>
      </c>
      <c r="F8" s="4" t="inlineStr">
        <is>
          <t>https://toss.im/tossfeed/article/outsight-themoneybook</t>
        </is>
      </c>
    </row>
    <row r="9" ht="92" customHeight="1">
      <c r="A9" s="3" t="inlineStr">
        <is>
          <t>확인한 사실</t>
        </is>
      </c>
      <c r="B9" s="3" t="inlineStr">
        <is>
          <t>질문에서 출발한 콘텐츠</t>
        </is>
      </c>
      <c r="C9" s="3" t="inlineStr">
        <is>
          <t>이용자의 금융 질문 100개와 전문가 27명의 답변을 책으로 구성했습니다. 토스피드와 앱 콘텐츠를 재구성했습니다.</t>
        </is>
      </c>
      <c r="D9" s="3" t="inlineStr">
        <is>
          <t>2024년 자료</t>
        </is>
      </c>
      <c r="E9" s="3" t="inlineStr">
        <is>
          <t>공식 자료에 기재된 내용</t>
        </is>
      </c>
      <c r="F9" s="4" t="inlineStr">
        <is>
          <t>https://toss.im/tossfeed/article/moneybook</t>
        </is>
      </c>
    </row>
    <row r="10" ht="92" customHeight="1">
      <c r="A10" s="3" t="inlineStr">
        <is>
          <t>확인한 사실</t>
        </is>
      </c>
      <c r="B10" s="3" t="inlineStr">
        <is>
          <t>경제적 독립을 맞는 2030</t>
        </is>
      </c>
      <c r="C10" s="3" t="inlineStr">
        <is>
          <t>회고에서 밝힌 주요 대상입니다. 성수 팝업은 금융이나 책에 관심이 적은 사람도 만날 수 있는 위치를 고려했습니다.</t>
        </is>
      </c>
      <c r="D10" s="3" t="inlineStr">
        <is>
          <t>2024년 자료</t>
        </is>
      </c>
      <c r="E10" s="3" t="inlineStr">
        <is>
          <t>공식 자료에 기재된 내용</t>
        </is>
      </c>
      <c r="F10" s="4" t="inlineStr">
        <is>
          <t>https://toss.im/tossfeed/article/outsight-themoneybook</t>
        </is>
      </c>
    </row>
    <row r="11" ht="92" customHeight="1">
      <c r="A11" s="3" t="inlineStr">
        <is>
          <t>확인한 사실</t>
        </is>
      </c>
      <c r="B11" s="3" t="inlineStr">
        <is>
          <t>생활 질문을 여러 사람의 이야기로</t>
        </is>
      </c>
      <c r="C11" s="3" t="inlineStr">
        <is>
          <t>공식 에디션은 주거, 저축과 자신다운 소비 등 서로 다른 생활 질문을 소개합니다. 유어마인드와 일러스트레이터 0.1의 협업도 확인됩니다.</t>
        </is>
      </c>
      <c r="D11" s="3" t="inlineStr">
        <is>
          <t>2024년 자료</t>
        </is>
      </c>
      <c r="E11" s="3" t="inlineStr">
        <is>
          <t>공식 자료에 기재된 내용</t>
        </is>
      </c>
      <c r="F11" s="4" t="inlineStr">
        <is>
          <t>https://toss.im/tossfeed/edition/the-money-book</t>
        </is>
      </c>
    </row>
    <row r="12" ht="92" customHeight="1">
      <c r="A12" s="3" t="inlineStr">
        <is>
          <t>확인한 사실</t>
        </is>
      </c>
      <c r="B12" s="3" t="inlineStr">
        <is>
          <t>온라인에서 오프라인으로</t>
        </is>
      </c>
      <c r="C12" s="3" t="inlineStr">
        <is>
          <t>앱 선판매, 29CM 협업과 인플루언서 소개를 거쳐 팝업과 도서전으로 확장했습니다. 도서전에서는 생활용품 옆에 책을 진열했습니다.</t>
        </is>
      </c>
      <c r="D12" s="3" t="inlineStr">
        <is>
          <t>2024년 자료</t>
        </is>
      </c>
      <c r="E12" s="3" t="inlineStr">
        <is>
          <t>공식 자료에 기재된 내용</t>
        </is>
      </c>
      <c r="F12" s="4" t="inlineStr">
        <is>
          <t>https://toss.im/tossfeed/article/outsight-themoneybook</t>
        </is>
      </c>
    </row>
    <row r="13" ht="92" customHeight="1">
      <c r="A13" s="3" t="inlineStr">
        <is>
          <t>분석자의 해석</t>
        </is>
      </c>
      <c r="B13" s="3" t="inlineStr">
        <is>
          <t>관심을 얻는 이유</t>
        </is>
      </c>
      <c r="C13" s="3" t="inlineStr">
        <is>
          <t>낯선 금융 용어보다 내 생활에서 겪는 질문을 먼저 보여주면 자기 이야기로 받아들일 여지가 있습니다. 질문에 대한 공감이 공유를 만들었다는 것은 검증할 가설입니다.</t>
        </is>
      </c>
      <c r="D13" s="3" t="inlineStr">
        <is>
          <t>효과 미측정</t>
        </is>
      </c>
      <c r="E13" s="3" t="inlineStr">
        <is>
          <t>인과관계와 실제 브랜드 기억은 확인하지 못함</t>
        </is>
      </c>
      <c r="F13" s="3" t="inlineStr"/>
    </row>
    <row r="14" ht="92" customHeight="1">
      <c r="A14" s="3" t="inlineStr">
        <is>
          <t>분석자의 해석</t>
        </is>
      </c>
      <c r="B14" s="3" t="inlineStr">
        <is>
          <t>기억되고 싶은 브랜드</t>
        </is>
      </c>
      <c r="C14" s="3" t="inlineStr">
        <is>
          <t>이 사례에서 읽은 메시지는 금융을 쉽게 이해하도록 돕는 안내자입니다. 책, 질문과 생활 공간이 같은 의미를 전달하는지 분석했습니다. 실제 브랜드 기억률은 공개 자료에서 확인하지 못했습니다.</t>
        </is>
      </c>
      <c r="D14" s="3" t="inlineStr">
        <is>
          <t>효과 미측정</t>
        </is>
      </c>
      <c r="E14" s="3" t="inlineStr">
        <is>
          <t>인과관계와 실제 브랜드 기억은 확인하지 못함</t>
        </is>
      </c>
      <c r="F14" s="3" t="inlineStr"/>
    </row>
    <row r="15" ht="92" customHeight="1">
      <c r="A15" s="3" t="inlineStr">
        <is>
          <t>분석자의 해석</t>
        </is>
      </c>
      <c r="B15" s="3" t="inlineStr">
        <is>
          <t>다시 찾을 이유</t>
        </is>
      </c>
      <c r="C15" s="3" t="inlineStr">
        <is>
          <t>당장 모든 답을 읽기보다 다음 금융 상황에서 찾아볼 질문 목록이 남습니다. 연속 콘텐츠로 옮길 때도 다음에 해결할 상황을 예고하는 방식이 적합하다고 판단합니다. 실제 재방문은 미측정입니다.</t>
        </is>
      </c>
      <c r="D15" s="3" t="inlineStr">
        <is>
          <t>효과 미측정</t>
        </is>
      </c>
      <c r="E15" s="3" t="inlineStr">
        <is>
          <t>인과관계와 실제 브랜드 기억은 확인하지 못함</t>
        </is>
      </c>
      <c r="F15" s="3" t="inlineStr"/>
    </row>
    <row r="16" ht="92" customHeight="1">
      <c r="A16" s="3" t="inlineStr">
        <is>
          <t>분석자의 해석</t>
        </is>
      </c>
      <c r="B16" s="3" t="inlineStr">
        <is>
          <t>읽어낸 문화와 생활의 맥락</t>
        </is>
      </c>
      <c r="C16" s="3" t="inlineStr">
        <is>
          <t>취향 플랫폼의 한정판, 성수의 생활 동선, 도서전의 독서 맥락은 서로 다른 발견 경로입니다. 유행 단어를 붙이는 것보다 대상이 이미 찾는 장소에서 금융 이야기를 접하게 하는 선택으로 해석했습니다. 현재 인기 순위를 분석한 결과는 아닙니다.</t>
        </is>
      </c>
      <c r="D16" s="3" t="inlineStr">
        <is>
          <t>효과 미측정</t>
        </is>
      </c>
      <c r="E16" s="3" t="inlineStr">
        <is>
          <t>인과관계와 실제 브랜드 기억은 확인하지 못함</t>
        </is>
      </c>
      <c r="F16" s="3" t="inlineStr"/>
    </row>
    <row r="17" ht="92" customHeight="1">
      <c r="A17" s="3" t="inlineStr">
        <is>
          <t>실행 전 제안</t>
        </is>
      </c>
      <c r="B17" s="3" t="inlineStr">
        <is>
          <t>A안</t>
        </is>
      </c>
      <c r="C17" s="3" t="inlineStr">
        <is>
          <t>처음 돈을 관리할 때, 무엇이 궁금했나요?</t>
        </is>
      </c>
      <c r="D17" s="3" t="inlineStr">
        <is>
          <t>질문에서 시작하는 3장 카드</t>
        </is>
      </c>
      <c r="E17" s="3" t="inlineStr">
        <is>
          <t>독자의 상황과 브랜드의 역할을 첫 장면에서 연결합니다. 공식 답을 확인하면 다음 질문으로 연속 발행할 수 있습니다. 답의 정확성과 적용 조건을 확인해야 합니다. 현재는 답안을 제작하지 않은 기획안입니다.</t>
        </is>
      </c>
      <c r="F17" s="3" t="inlineStr"/>
    </row>
    <row r="18" ht="92" customHeight="1">
      <c r="A18" s="3" t="inlineStr">
        <is>
          <t>실행 전 제안</t>
        </is>
      </c>
      <c r="B18" s="3" t="inlineStr">
        <is>
          <t>B안</t>
        </is>
      </c>
      <c r="C18" s="3" t="inlineStr">
        <is>
          <t>머니북의 판매 기록을 한 장으로</t>
        </is>
      </c>
      <c r="D18" s="3" t="inlineStr">
        <is>
          <t>성과를 알리는 1장 카드</t>
        </is>
      </c>
      <c r="E18" s="3" t="inlineStr">
        <is>
          <t>이미 관심을 가진 사람에게 사회적 관심의 규모를 짧게 전달할 수 있습니다. 처음 보는 사람에게 자신의 생활과 어떤 관계가 있는지 설명이 부족할 수 있습니다. 판매 기록을 현재 성과처럼 사용하면 안 됩니다.</t>
        </is>
      </c>
      <c r="F18" s="3" t="inlineStr"/>
    </row>
    <row r="19" ht="92" customHeight="1">
      <c r="A19" s="3" t="inlineStr">
        <is>
          <t>선택 이유</t>
        </is>
      </c>
      <c r="B19" s="3" t="inlineStr">
        <is>
          <t>A안 우선</t>
        </is>
      </c>
      <c r="C19" s="3" t="inlineStr">
        <is>
          <t>이번 목표는 판매 실적 홍보보다 브랜드의 역할 전달입니다. A는 생활 상황에서 출발하고 같은 구조로 후속 질문을 이어갈 수 있어 우선 제안합니다. B는 관심이 이미 형성된 독자에게 책을 소개하는 목적에서 다시 검토할 수 있습니다. A의 조회나 공유가 더 높다는 결론은 아닙니다.</t>
        </is>
      </c>
      <c r="D19" s="3" t="inlineStr">
        <is>
          <t>브랜드 역할 전달 목적</t>
        </is>
      </c>
      <c r="E19" s="3" t="inlineStr">
        <is>
          <t>성과 우위를 뜻하지 않음</t>
        </is>
      </c>
      <c r="F19" s="3" t="inlineStr"/>
    </row>
    <row r="20" ht="92" customHeight="1">
      <c r="A20" s="3" t="inlineStr">
        <is>
          <t>측정 계획</t>
        </is>
      </c>
      <c r="B20" s="3" t="inlineStr">
        <is>
          <t>무슨 브랜드로 기억했나요?</t>
        </is>
      </c>
      <c r="C20" s="3" t="inlineStr">
        <is>
          <t>시안을 본 뒤 기억나는 브랜드 이름과 그 브랜드가 돕는 일을 자유 응답으로 받습니다. 출처를 이해했는지도 별도로 확인합니다.</t>
        </is>
      </c>
      <c r="D20" s="3" t="inlineStr">
        <is>
          <t>실제 결과 없음</t>
        </is>
      </c>
      <c r="E20" s="3" t="inlineStr">
        <is>
          <t>책 광고로만 이해했다면 첫 장면에 독자의 상황과 브랜드 역할을 더 분명히 보여줍니다.</t>
        </is>
      </c>
      <c r="F20" s="3" t="inlineStr"/>
    </row>
    <row r="21" ht="92" customHeight="1">
      <c r="A21" s="3" t="inlineStr">
        <is>
          <t>측정 계획</t>
        </is>
      </c>
      <c r="B21" s="3" t="inlineStr">
        <is>
          <t>어떤 반응으로 이어졌나요?</t>
        </is>
      </c>
      <c r="C21" s="3" t="inlineStr">
        <is>
          <t>A와 B는 목적과 형식이 다른 기획 대안입니다. 첫 장면을 시험한다면 카드 수와 주제, 게시 기간과 광고 조건을 같게 맞춘 별도 시안을 만듭니다. 도달 대비 공유와 저장을 각각 비교합니다. 도달 수와 공유 수, 공유율을 함께 확인하고 도달이 줄어 비율만 오른 경우를 구분합니다.</t>
        </is>
      </c>
      <c r="D21" s="3" t="inlineStr">
        <is>
          <t>실제 결과 없음</t>
        </is>
      </c>
      <c r="E21" s="3" t="inlineStr">
        <is>
          <t>저장만 늘었다면 유용한 정보와 나누고 싶은 메시지를 구분해 다음 질문을 조정합니다.</t>
        </is>
      </c>
      <c r="F21" s="3" t="inlineStr"/>
    </row>
    <row r="22" ht="92" customHeight="1">
      <c r="A22" s="3" t="inlineStr">
        <is>
          <t>측정 계획</t>
        </is>
      </c>
      <c r="B22" s="3" t="inlineStr">
        <is>
          <t>왜 다시 찾았나요?</t>
        </is>
      </c>
      <c r="C22" s="3" t="inlineStr">
        <is>
          <t>다음 편 방문 경로와 재방문 이유를 선택 질문으로 확인합니다. 계정 전체 증가를 게시물 효과로 단정하지 않습니다.</t>
        </is>
      </c>
      <c r="D22" s="3" t="inlineStr">
        <is>
          <t>실제 결과 없음</t>
        </is>
      </c>
      <c r="E22" s="3" t="inlineStr">
        <is>
          <t>다음 편을 찾기 어렵다는 반응이면 연속 콘텐츠 이름과 다음 질문의 예고를 통일합니다.</t>
        </is>
      </c>
      <c r="F22" s="3" t="inlineStr"/>
    </row>
  </sheetData>
  <autoFilter ref="A5:F22"/>
  <hyperlinks>
    <hyperlink xmlns:r="http://schemas.openxmlformats.org/officeDocument/2006/relationships" ref="F6"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 xmlns:r="http://schemas.openxmlformats.org/officeDocument/2006/relationships" ref="F11" r:id="rId6"/>
    <hyperlink xmlns:r="http://schemas.openxmlformats.org/officeDocument/2006/relationships" ref="F12" r:id="rId7"/>
  </hyperlink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2:F10"/>
  <sheetViews>
    <sheetView showGridLines="0" workbookViewId="0">
      <pane ySplit="5" topLeftCell="A6" activePane="bottomLeft" state="frozen"/>
      <selection pane="bottomLeft" activeCell="A1" sqref="A1"/>
    </sheetView>
  </sheetViews>
  <sheetFormatPr baseColWidth="8" defaultRowHeight="15"/>
  <cols>
    <col width="24" customWidth="1" min="1" max="1"/>
    <col width="48" customWidth="1" min="2" max="2"/>
    <col width="56" customWidth="1" min="3" max="3"/>
    <col width="48" customWidth="1" min="4" max="4"/>
    <col width="17" customWidth="1" min="5" max="5"/>
    <col width="48" customWidth="1" min="6" max="6"/>
  </cols>
  <sheetData>
    <row r="2">
      <c r="A2" s="1" t="inlineStr">
        <is>
          <t>토스 공개 자료에서 더한 판단</t>
        </is>
      </c>
    </row>
    <row r="3">
      <c r="A3" t="inlineStr">
        <is>
          <t>확인 2026-10-08. 다른 시기의 자료에서 참고한 제안이며 SNS 성과를 입증하지 않습니다.</t>
        </is>
      </c>
    </row>
    <row r="5" ht="30" customHeight="1">
      <c r="A5" s="2" t="inlineStr">
        <is>
          <t>채널</t>
        </is>
      </c>
      <c r="B5" s="2" t="inlineStr">
        <is>
          <t>확인한 내용</t>
        </is>
      </c>
      <c r="C5" s="2" t="inlineStr">
        <is>
          <t>적용한 판단</t>
        </is>
      </c>
      <c r="D5" s="2" t="inlineStr">
        <is>
          <t>적용 한계</t>
        </is>
      </c>
      <c r="E5" s="2" t="inlineStr">
        <is>
          <t>발행일</t>
        </is>
      </c>
      <c r="F5" s="2" t="inlineStr">
        <is>
          <t>출처</t>
        </is>
      </c>
    </row>
    <row r="6" ht="110" customHeight="1">
      <c r="A6" s="3" t="inlineStr">
        <is>
          <t>토스 테크</t>
        </is>
      </c>
      <c r="B6" s="3" t="inlineStr">
        <is>
          <t>글쓰기 원칙은 쉬운 표현, 핵심 메시지와 사용자의 선택권을 강조합니다.</t>
        </is>
      </c>
      <c r="C6" s="3" t="inlineStr">
        <is>
          <t>머니북 후속 카드의 첫 장면은 생활 질문 하나로 좁힙니다. 참여 요청은 선택으로 두고, 원문 링크에는 금융 답을 읽는 곳인지 책 소개인지 구분합니다.</t>
        </is>
      </c>
      <c r="D6" s="3" t="inlineStr">
        <is>
          <t>이 문구는 분석자가 만든 예시입니다. 실제 토스 문구나 효과가 검증된 시안이 아닙니다.</t>
        </is>
      </c>
      <c r="E6" s="3" t="inlineStr">
        <is>
          <t>2022-11-15</t>
        </is>
      </c>
      <c r="F6" s="4" t="inlineStr">
        <is>
          <t>https://toss.tech/article/21022</t>
        </is>
      </c>
    </row>
    <row r="7" ht="110" customHeight="1">
      <c r="A7" s="3" t="inlineStr">
        <is>
          <t>Product</t>
        </is>
      </c>
      <c r="B7" s="3" t="inlineStr">
        <is>
          <t>만보기 회고는 초기 사용 이후 지속 사용으로 이어지지 않은 실험과 사용자 관찰을 통한 전환을 설명합니다.</t>
        </is>
      </c>
      <c r="C7" s="3" t="inlineStr">
        <is>
          <t>머니북의 조회와 판매만으로 팬 형성을 판단하지 않습니다. 다음 질문을 다시 찾은 이유와 참여 과정의 부담을 함께 확인하는 계획을 추가합니다.</t>
        </is>
      </c>
      <c r="D7" s="3" t="inlineStr">
        <is>
          <t>리워드와 광고가 있는 앱의 사례입니다. 사진이나 금융 콘텐츠에서 같은 결과가 난다고 일반화하지 않습니다.</t>
        </is>
      </c>
      <c r="E7" s="3" t="inlineStr">
        <is>
          <t>2025-07-21</t>
        </is>
      </c>
      <c r="F7" s="4" t="inlineStr">
        <is>
          <t>https://toss.tech/article/undercover-silo-3</t>
        </is>
      </c>
    </row>
    <row r="8" ht="110" customHeight="1">
      <c r="A8" s="3" t="inlineStr">
        <is>
          <t>토스 테크의 데이터 사례</t>
        </is>
      </c>
      <c r="B8" s="3" t="inlineStr">
        <is>
          <t>푸시 실험은 클릭률 외에 클릭 총량과 이용, 매출을 보호할 지표를 함께 확인했습니다.</t>
        </is>
      </c>
      <c r="C8" s="3" t="inlineStr">
        <is>
          <t>후속 콘텐츠에서는 도달, 공유 수와 공유율을 함께 비교합니다. 도달 감소로 비율만 오른 경우에는 메시지가 좋아졌다고 확정하지 않습니다.</t>
        </is>
      </c>
      <c r="D8" s="3" t="inlineStr">
        <is>
          <t>푸시 실험 결과를 SNS 예상 증가율로 사용하지 않습니다. SNS의 자연 노출 비교는 무작위 실험이 아닙니다.</t>
        </is>
      </c>
      <c r="E8" s="3" t="inlineStr">
        <is>
          <t>2025-10-01</t>
        </is>
      </c>
      <c r="F8" s="4" t="inlineStr">
        <is>
          <t>https://toss.tech/article/41147</t>
        </is>
      </c>
    </row>
    <row r="9" ht="110" customHeight="1">
      <c r="A9" s="3" t="inlineStr">
        <is>
          <t>토스피드</t>
        </is>
      </c>
      <c r="B9" s="3" t="inlineStr">
        <is>
          <t>2026년 안정감 프로젝트는 고아성이 곁에 둔 책과 영화 등을 통해 불안과 자립을 다룹니다.</t>
        </is>
      </c>
      <c r="C9" s="3" t="inlineStr">
        <is>
          <t>머니북의 생활 질문 방식과 비교하면, 금융 답변과 문화 경험은 서로 다른 소재여도 독자의 생활 상황에서 출발합니다. 퍼짐은 유행 단어보다 내 콘텐츠와 연결되는 실제 장면을 먼저 확인하도록 추천합니다.</t>
        </is>
      </c>
      <c r="D9" s="3" t="inlineStr">
        <is>
          <t>브랜드의 콘텐츠 선택 사례이며 사회 전체의 트렌드나 SNS 바이럴 순위의 증거는 아닙니다.</t>
        </is>
      </c>
      <c r="E9" s="3" t="inlineStr">
        <is>
          <t>2026-09-29</t>
        </is>
      </c>
      <c r="F9" s="4" t="inlineStr">
        <is>
          <t>https://toss.im/tossfeed/article/findyoursafezone-2d</t>
        </is>
      </c>
    </row>
    <row r="10" ht="110" customHeight="1">
      <c r="A10" s="3" t="inlineStr">
        <is>
          <t>토스 공식 사이트</t>
        </is>
      </c>
      <c r="B10" s="3" t="inlineStr">
        <is>
          <t>회사 소개는 일상을 더 쉽게 만드는 방향과 피드백, 실험을 강조합니다. 접속 시 영문 회사 소개로 이동한 페이지를 확인했습니다.</t>
        </is>
      </c>
      <c r="C10" s="3" t="inlineStr">
        <is>
          <t>머니북 후속 콘텐츠의 선택 목적을 금융 질문을 쉽게 풀어주는 브랜드로 기억되는 것으로 유지합니다. 댓글 수를 늘리는 질문과 브랜드 역할을 설명하는 질문을 구분합니다.</t>
        </is>
      </c>
      <c r="D10" s="3" t="inlineStr">
        <is>
          <t>공식 소개는 브랜드가 밝힌 방향입니다. 대중의 실제 호감이나 신뢰를 증명하지 않습니다.</t>
        </is>
      </c>
      <c r="E10" s="3" t="inlineStr">
        <is>
          <t>게시일 확인하지 못함</t>
        </is>
      </c>
      <c r="F10" s="4" t="inlineStr">
        <is>
          <t>https://toss.im/en-us/company</t>
        </is>
      </c>
    </row>
  </sheetData>
  <hyperlinks>
    <hyperlink xmlns:r="http://schemas.openxmlformats.org/officeDocument/2006/relationships" ref="F6"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E17"/>
  <sheetViews>
    <sheetView showGridLines="0" workbookViewId="0">
      <pane ySplit="4" topLeftCell="A5" activePane="bottomLeft" state="frozen"/>
      <selection pane="bottomLeft" activeCell="A1" sqref="A1"/>
    </sheetView>
  </sheetViews>
  <sheetFormatPr baseColWidth="8" defaultRowHeight="15"/>
  <cols>
    <col width="24" customWidth="1" min="1" max="1"/>
    <col width="18" customWidth="1" min="2" max="2"/>
    <col width="48" customWidth="1" min="3" max="3"/>
    <col width="48" customWidth="1" min="4" max="4"/>
    <col width="16" customWidth="1" min="5" max="5"/>
  </cols>
  <sheetData>
    <row r="1"/>
    <row r="2">
      <c r="A2" s="1" t="inlineStr">
        <is>
          <t>퍼짐 기능과 검증</t>
        </is>
      </c>
    </row>
    <row r="3"/>
    <row r="4" ht="30" customHeight="1">
      <c r="A4" s="2" t="inlineStr">
        <is>
          <t>기능</t>
        </is>
      </c>
      <c r="B4" s="2" t="inlineStr">
        <is>
          <t>상태</t>
        </is>
      </c>
      <c r="C4" s="2" t="inlineStr">
        <is>
          <t>확인한 동작</t>
        </is>
      </c>
      <c r="D4" s="2" t="inlineStr">
        <is>
          <t>제한</t>
        </is>
      </c>
      <c r="E4" s="2" t="inlineStr">
        <is>
          <t>확인일</t>
        </is>
      </c>
    </row>
    <row r="5" ht="58" customHeight="1">
      <c r="A5" s="3" t="inlineStr">
        <is>
          <t>주소 입력</t>
        </is>
      </c>
      <c r="B5" s="3" t="inlineStr">
        <is>
          <t>구현</t>
        </is>
      </c>
      <c r="C5" s="3" t="inlineStr">
        <is>
          <t>최대 5개 SNS 홈 주소 입력</t>
        </is>
      </c>
      <c r="D5" s="3" t="inlineStr">
        <is>
          <t>주소 등록과 열람 가능 여부는 다름</t>
        </is>
      </c>
      <c r="E5" s="3" t="inlineStr">
        <is>
          <t>2026-10-08</t>
        </is>
      </c>
    </row>
    <row r="6" ht="58" customHeight="1">
      <c r="A6" s="3" t="inlineStr">
        <is>
          <t>공개 자료 확인</t>
        </is>
      </c>
      <c r="B6" s="3" t="inlineStr">
        <is>
          <t>구현</t>
        </is>
      </c>
      <c r="C6" s="3" t="inlineStr">
        <is>
          <t>계정 이름, 소개, 공개 피드 글 확인</t>
        </is>
      </c>
      <c r="D6" s="3" t="inlineStr">
        <is>
          <t>접근 가능한 공개 자료에 한정</t>
        </is>
      </c>
      <c r="E6" s="3" t="inlineStr">
        <is>
          <t>2026-10-08</t>
        </is>
      </c>
    </row>
    <row r="7" ht="58" customHeight="1">
      <c r="A7" s="3" t="inlineStr">
        <is>
          <t>자료 미확인 표시</t>
        </is>
      </c>
      <c r="B7" s="3" t="inlineStr">
        <is>
          <t>확인</t>
        </is>
      </c>
      <c r="C7" s="3" t="inlineStr">
        <is>
          <t>Instagram 이름만 확인하고 나머지는 확인하지 못함으로 표시</t>
        </is>
      </c>
      <c r="D7" s="3" t="inlineStr">
        <is>
          <t>이미지와 반응 자동 조회 없음</t>
        </is>
      </c>
      <c r="E7" s="3" t="inlineStr">
        <is>
          <t>2026-10-08</t>
        </is>
      </c>
    </row>
    <row r="8" ht="58" customHeight="1">
      <c r="A8" s="3" t="inlineStr">
        <is>
          <t>보완할 요소</t>
        </is>
      </c>
      <c r="B8" s="3" t="inlineStr">
        <is>
          <t>구현</t>
        </is>
      </c>
      <c r="C8" s="3" t="inlineStr">
        <is>
          <t>공개 소개와 글에서 검토점 제안</t>
        </is>
      </c>
      <c r="D8" s="3" t="inlineStr">
        <is>
          <t>자료가 없으면 부족하다고 판정하지 않음</t>
        </is>
      </c>
      <c r="E8" s="3" t="inlineStr">
        <is>
          <t>2026-10-08</t>
        </is>
      </c>
    </row>
    <row r="9" ht="58" customHeight="1">
      <c r="A9" s="3" t="inlineStr">
        <is>
          <t>다음 콘텐츠</t>
        </is>
      </c>
      <c r="B9" s="3" t="inlineStr">
        <is>
          <t>구현</t>
        </is>
      </c>
      <c r="C9" s="3" t="inlineStr">
        <is>
          <t>기준 글, 두 안과 선택 이유 또는 시작용 초안</t>
        </is>
      </c>
      <c r="D9" s="3" t="inlineStr">
        <is>
          <t>반응 예측과 효과 보장 없음</t>
        </is>
      </c>
      <c r="E9" s="3" t="inlineStr">
        <is>
          <t>2026-10-08</t>
        </is>
      </c>
    </row>
    <row r="10" ht="58" customHeight="1">
      <c r="A10" s="3" t="inlineStr">
        <is>
          <t>관심 키워드</t>
        </is>
      </c>
      <c r="B10" s="3" t="inlineStr">
        <is>
          <t>구현</t>
        </is>
      </c>
      <c r="C10" s="3" t="inlineStr">
        <is>
          <t>한 키워드를 다섯 자료로 구분해 확인</t>
        </is>
      </c>
      <c r="D10" s="3" t="inlineStr">
        <is>
          <t>서로 다른 단위는 합산하지 않음</t>
        </is>
      </c>
      <c r="E10" s="3" t="inlineStr">
        <is>
          <t>2026-10-08</t>
        </is>
      </c>
    </row>
    <row r="11" ht="58" customHeight="1">
      <c r="A11" s="3" t="inlineStr">
        <is>
          <t>상세 통계</t>
        </is>
      </c>
      <c r="B11" s="3" t="inlineStr">
        <is>
          <t>선택</t>
        </is>
      </c>
      <c r="C11" s="3" t="inlineStr">
        <is>
          <t>같은 조건의 최근 3개와 이전 3개 비교</t>
        </is>
      </c>
      <c r="D11" s="3" t="inlineStr">
        <is>
          <t>실제 수치를 직접 등록</t>
        </is>
      </c>
      <c r="E11" s="3" t="inlineStr">
        <is>
          <t>2026-10-08</t>
        </is>
      </c>
    </row>
    <row r="12" ht="58" customHeight="1">
      <c r="A12" s="3" t="inlineStr">
        <is>
          <t>선택 기록</t>
        </is>
      </c>
      <c r="B12" s="3" t="inlineStr">
        <is>
          <t>구현</t>
        </is>
      </c>
      <c r="C12" s="3" t="inlineStr">
        <is>
          <t>선택 시점의 수치와 시험안 보관</t>
        </is>
      </c>
      <c r="D12" s="3" t="inlineStr">
        <is>
          <t>원인과 결과의 관계는 입증하지 않음</t>
        </is>
      </c>
      <c r="E12" s="3" t="inlineStr">
        <is>
          <t>2026-10-08</t>
        </is>
      </c>
    </row>
    <row r="13" ht="58" customHeight="1">
      <c r="A13" s="3" t="inlineStr">
        <is>
          <t>자동 검사</t>
        </is>
      </c>
      <c r="B13" s="3" t="inlineStr">
        <is>
          <t>32개 통과</t>
        </is>
      </c>
      <c r="C13" s="3" t="inlineStr">
        <is>
          <t>주소, 피드, 뉴스, API 자료 연결과 계산 확인</t>
        </is>
      </c>
      <c r="D13" s="3" t="inlineStr">
        <is>
          <t>실제 이용자 효과 검증과 다름</t>
        </is>
      </c>
      <c r="E13" s="3" t="inlineStr">
        <is>
          <t>2026-10-08</t>
        </is>
      </c>
    </row>
    <row r="14">
      <c r="A14" s="3" t="inlineStr">
        <is>
          <t>네이버 실제 호출</t>
        </is>
      </c>
      <c r="B14" s="3" t="inlineStr">
        <is>
          <t>통과</t>
        </is>
      </c>
      <c r="C14" s="3" t="inlineStr">
        <is>
          <t>가을 키워드의 최근 14일 일간 상대지수 수신</t>
        </is>
      </c>
      <c r="D14" s="3" t="inlineStr">
        <is>
          <t>최근 7일 74.8, 이전 7일 61.5, 변화율 21.6%</t>
        </is>
      </c>
      <c r="E14" s="9" t="n">
        <v>46303</v>
      </c>
    </row>
    <row r="15">
      <c r="A15" s="3" t="inlineStr">
        <is>
          <t>이용자 성과</t>
        </is>
      </c>
      <c r="B15" s="3" t="inlineStr">
        <is>
          <t>미측정</t>
        </is>
      </c>
      <c r="C15" s="3" t="inlineStr">
        <is>
          <t>실제 공유 증가와 재사용 자료 없음</t>
        </is>
      </c>
      <c r="D15" s="3" t="inlineStr">
        <is>
          <t>성과 수치를 생성하지 않음</t>
        </is>
      </c>
      <c r="E15" s="3" t="inlineStr">
        <is>
          <t>2026-10-08</t>
        </is>
      </c>
    </row>
    <row r="16"/>
    <row r="17">
      <c r="A17" t="inlineStr">
        <is>
          <t>기준: 최신 코드, 자동 검사와 실제 주소 조회. 이용자 성과는 미측정입니다.</t>
        </is>
      </c>
    </row>
  </sheetData>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E10"/>
  <sheetViews>
    <sheetView showGridLines="0" workbookViewId="0">
      <pane ySplit="5" topLeftCell="A6" activePane="bottomLeft" state="frozen"/>
      <selection pane="bottomLeft" activeCell="A1" sqref="A1"/>
    </sheetView>
  </sheetViews>
  <sheetFormatPr baseColWidth="8" defaultRowHeight="15"/>
  <cols>
    <col width="24" customWidth="1" min="1" max="1"/>
    <col width="34" customWidth="1" min="2" max="2"/>
    <col width="31" customWidth="1" min="3" max="3"/>
    <col width="50" customWidth="1" min="4" max="4"/>
    <col width="48" customWidth="1" min="5" max="5"/>
  </cols>
  <sheetData>
    <row r="1"/>
    <row r="2">
      <c r="A2" s="1" t="inlineStr">
        <is>
          <t>키워드 확인 자료</t>
        </is>
      </c>
    </row>
    <row r="3">
      <c r="A3" t="inlineStr">
        <is>
          <t>검색, 영상, 뉴스와 생활 맥락을 역할별로 확인합니다. 서로 다른 단위를 합산하지 않습니다.</t>
        </is>
      </c>
    </row>
    <row r="4"/>
    <row r="5" ht="30" customHeight="1">
      <c r="A5" s="2" t="inlineStr">
        <is>
          <t>역할</t>
        </is>
      </c>
      <c r="B5" s="2" t="inlineStr">
        <is>
          <t>자료</t>
        </is>
      </c>
      <c r="C5" s="2" t="inlineStr">
        <is>
          <t>비용과 연결</t>
        </is>
      </c>
      <c r="D5" s="2" t="inlineStr">
        <is>
          <t>확인할 내용</t>
        </is>
      </c>
      <c r="E5" s="2" t="inlineStr">
        <is>
          <t>현재 동작</t>
        </is>
      </c>
    </row>
    <row r="6" ht="74" customHeight="1">
      <c r="A6" s="3" t="inlineStr">
        <is>
          <t>새 소재 발견</t>
        </is>
      </c>
      <c r="B6" s="3" t="inlineStr">
        <is>
          <t>Google Trends 급상승 RSS</t>
        </is>
      </c>
      <c r="C6" s="3" t="inlineStr">
        <is>
          <t>무료</t>
        </is>
      </c>
      <c r="D6" s="3" t="inlineStr">
        <is>
          <t>오늘 갑자기 검색되는 주제</t>
        </is>
      </c>
      <c r="E6" s="3" t="inlineStr">
        <is>
          <t>자동 확인</t>
        </is>
      </c>
    </row>
    <row r="7" ht="74" customHeight="1">
      <c r="A7" s="3" t="inlineStr">
        <is>
          <t>국내 관심 검증</t>
        </is>
      </c>
      <c r="B7" s="3" t="inlineStr">
        <is>
          <t>NAVER API Hub 검색어 트렌드</t>
        </is>
      </c>
      <c r="C7" s="3" t="inlineStr">
        <is>
          <t>한시 무료, 로컬 인증값 연결</t>
        </is>
      </c>
      <c r="D7" s="3" t="inlineStr">
        <is>
          <t>최근 7일과 이전 7일의 상대 검색 관심</t>
        </is>
      </c>
      <c r="E7" s="3" t="inlineStr">
        <is>
          <t>실제 호출 검증 완료, 공개 배포는 서버 설정 필요</t>
        </is>
      </c>
    </row>
    <row r="8" ht="74" customHeight="1">
      <c r="A8" s="3" t="inlineStr">
        <is>
          <t>영상과 문화 반응</t>
        </is>
      </c>
      <c r="B8" s="3" t="inlineStr">
        <is>
          <t>YouTube Data API</t>
        </is>
      </c>
      <c r="C8" s="3" t="inlineStr">
        <is>
          <t>기본 무료 할당량, 인증값 필요</t>
        </is>
      </c>
      <c r="D8" s="3" t="inlineStr">
        <is>
          <t>최근 관련 영상의 현재 누적 조회와 댓글</t>
        </is>
      </c>
      <c r="E8" s="3" t="inlineStr">
        <is>
          <t>인증값이 없으면 연결 전</t>
        </is>
      </c>
    </row>
    <row r="9" ht="74" customHeight="1">
      <c r="A9" s="3" t="inlineStr">
        <is>
          <t>사건 배경 확인</t>
        </is>
      </c>
      <c r="B9" s="3" t="inlineStr">
        <is>
          <t>Google 뉴스 RSS와 빅카인즈</t>
        </is>
      </c>
      <c r="C9" s="3" t="inlineStr">
        <is>
          <t>무료</t>
        </is>
      </c>
      <c r="D9" s="3" t="inlineStr">
        <is>
          <t>왜 관심이 생겼는지 보여주는 기사 맥락</t>
        </is>
      </c>
      <c r="E9" s="3" t="inlineStr">
        <is>
          <t>뉴스 표본 자동 확인, 빅카인즈 원문 확인</t>
        </is>
      </c>
    </row>
    <row r="10" ht="74" customHeight="1">
      <c r="A10" s="3" t="inlineStr">
        <is>
          <t>신조어와 생활 맥락</t>
        </is>
      </c>
      <c r="B10" s="3" t="inlineStr">
        <is>
          <t>트렌드어워드와 썸트렌드</t>
        </is>
      </c>
      <c r="C10" s="3" t="inlineStr">
        <is>
          <t>공개 범위 무료</t>
        </is>
      </c>
      <c r="D10" s="3" t="inlineStr">
        <is>
          <t>표현의 뜻, 사용 장면과 채널 조건</t>
        </is>
      </c>
      <c r="E10" s="3" t="inlineStr">
        <is>
          <t>원문에서 직접 확인</t>
        </is>
      </c>
    </row>
  </sheetData>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2:K28"/>
  <sheetViews>
    <sheetView showGridLines="0" workbookViewId="0">
      <pane ySplit="8" topLeftCell="A9" activePane="bottomLeft" state="frozen"/>
      <selection pane="bottomLeft" activeCell="A1" sqref="A1"/>
    </sheetView>
  </sheetViews>
  <sheetFormatPr baseColWidth="8" defaultRowHeight="15"/>
  <cols>
    <col width="16" customWidth="1" min="1" max="1"/>
    <col width="34" customWidth="1" min="2" max="2"/>
    <col width="26" customWidth="1" min="3" max="3"/>
    <col width="13" customWidth="1" min="4" max="4"/>
    <col width="12" customWidth="1" min="5" max="5"/>
    <col width="12" customWidth="1" min="6" max="6"/>
    <col width="12" customWidth="1" min="7" max="7"/>
    <col width="24" customWidth="1" min="8" max="8"/>
    <col width="18" customWidth="1" min="9" max="9"/>
    <col width="18" customWidth="1" min="10" max="10"/>
    <col width="20" customWidth="1" min="11" max="11"/>
  </cols>
  <sheetData>
    <row r="2">
      <c r="A2" s="1" t="inlineStr">
        <is>
          <t>게시물 통계 기록</t>
        </is>
      </c>
    </row>
    <row r="3">
      <c r="A3" t="inlineStr">
        <is>
          <t>계정</t>
        </is>
      </c>
      <c r="B3" s="5" t="inlineStr">
        <is>
          <t>입력하세요</t>
        </is>
      </c>
      <c r="C3" t="inlineStr">
        <is>
          <t>플랫폼</t>
        </is>
      </c>
      <c r="D3" s="5" t="inlineStr">
        <is>
          <t>입력하세요</t>
        </is>
      </c>
      <c r="E3" t="inlineStr">
        <is>
          <t>기준</t>
        </is>
      </c>
      <c r="F3" s="5" t="inlineStr">
        <is>
          <t>도달</t>
        </is>
      </c>
      <c r="G3" t="inlineStr">
        <is>
          <t>시점 (일)</t>
        </is>
      </c>
      <c r="H3" s="5" t="n">
        <v>7</v>
      </c>
      <c r="I3" t="inlineStr">
        <is>
          <t>광고</t>
        </is>
      </c>
      <c r="J3" s="5" t="inlineStr">
        <is>
          <t>미확인</t>
        </is>
      </c>
    </row>
    <row r="5">
      <c r="A5" t="inlineStr">
        <is>
          <t>같은 계정, 플랫폼, 관측 시점, 기준 수와 광고 조건만 한 시트에 입력하세요.</t>
        </is>
      </c>
    </row>
    <row r="6">
      <c r="A6" t="inlineStr">
        <is>
          <t>모르는 반응은 빈칸으로 두세요. 팔로우는 해당 게시물 기여 수입니다. 현재 누적 수치와 섞지 마세요.</t>
        </is>
      </c>
    </row>
    <row r="8" ht="30" customHeight="1">
      <c r="A8" s="2" t="inlineStr">
        <is>
          <t>게시 날짜</t>
        </is>
      </c>
      <c r="B8" s="2" t="inlineStr">
        <is>
          <t>게시물 주소</t>
        </is>
      </c>
      <c r="C8" s="2" t="inlineStr">
        <is>
          <t>제목</t>
        </is>
      </c>
      <c r="D8" s="2" t="inlineStr">
        <is>
          <t>기준 수</t>
        </is>
      </c>
      <c r="E8" s="2" t="inlineStr">
        <is>
          <t>공유</t>
        </is>
      </c>
      <c r="F8" s="2" t="inlineStr">
        <is>
          <t>저장</t>
        </is>
      </c>
      <c r="G8" s="2" t="inlineStr">
        <is>
          <t>팔로우</t>
        </is>
      </c>
      <c r="H8" s="2" t="inlineStr">
        <is>
          <t>메모</t>
        </is>
      </c>
      <c r="I8" s="2" t="inlineStr">
        <is>
          <t>공유 / 기준 수</t>
        </is>
      </c>
      <c r="J8" s="2" t="inlineStr">
        <is>
          <t>저장 / 기준 수</t>
        </is>
      </c>
      <c r="K8" s="2" t="inlineStr">
        <is>
          <t>팔로우 / 기준 수</t>
        </is>
      </c>
    </row>
    <row r="9" ht="28" customHeight="1">
      <c r="A9" s="6" t="n"/>
      <c r="B9" s="7" t="n"/>
      <c r="C9" s="7" t="n"/>
      <c r="D9" s="7" t="n"/>
      <c r="E9" s="7" t="n"/>
      <c r="F9" s="7" t="n"/>
      <c r="G9" s="7" t="n"/>
      <c r="H9" s="7" t="n"/>
      <c r="I9" s="8">
        <f>IF(OR(NOT(ISNUMBER(D9)),D9&lt;=0,NOT(ISNUMBER(E9))),"",E9/D9)</f>
        <v/>
      </c>
      <c r="J9" s="8">
        <f>IF(OR(NOT(ISNUMBER(D9)),D9&lt;=0,NOT(ISNUMBER(F9))),"",F9/D9)</f>
        <v/>
      </c>
      <c r="K9" s="8">
        <f>IF(OR(NOT(ISNUMBER(D9)),D9&lt;=0,NOT(ISNUMBER(G9))),"",G9/D9)</f>
        <v/>
      </c>
    </row>
    <row r="10" ht="28" customHeight="1">
      <c r="A10" s="6" t="n"/>
      <c r="B10" s="7" t="n"/>
      <c r="C10" s="7" t="n"/>
      <c r="D10" s="7" t="n"/>
      <c r="E10" s="7" t="n"/>
      <c r="F10" s="7" t="n"/>
      <c r="G10" s="7" t="n"/>
      <c r="H10" s="7" t="n"/>
      <c r="I10" s="8">
        <f>IF(OR(NOT(ISNUMBER(D10)),D10&lt;=0,NOT(ISNUMBER(E10))),"",E10/D10)</f>
        <v/>
      </c>
      <c r="J10" s="8">
        <f>IF(OR(NOT(ISNUMBER(D10)),D10&lt;=0,NOT(ISNUMBER(F10))),"",F10/D10)</f>
        <v/>
      </c>
      <c r="K10" s="8">
        <f>IF(OR(NOT(ISNUMBER(D10)),D10&lt;=0,NOT(ISNUMBER(G10))),"",G10/D10)</f>
        <v/>
      </c>
    </row>
    <row r="11" ht="28" customHeight="1">
      <c r="A11" s="6" t="n"/>
      <c r="B11" s="7" t="n"/>
      <c r="C11" s="7" t="n"/>
      <c r="D11" s="7" t="n"/>
      <c r="E11" s="7" t="n"/>
      <c r="F11" s="7" t="n"/>
      <c r="G11" s="7" t="n"/>
      <c r="H11" s="7" t="n"/>
      <c r="I11" s="8">
        <f>IF(OR(NOT(ISNUMBER(D11)),D11&lt;=0,NOT(ISNUMBER(E11))),"",E11/D11)</f>
        <v/>
      </c>
      <c r="J11" s="8">
        <f>IF(OR(NOT(ISNUMBER(D11)),D11&lt;=0,NOT(ISNUMBER(F11))),"",F11/D11)</f>
        <v/>
      </c>
      <c r="K11" s="8">
        <f>IF(OR(NOT(ISNUMBER(D11)),D11&lt;=0,NOT(ISNUMBER(G11))),"",G11/D11)</f>
        <v/>
      </c>
    </row>
    <row r="12" ht="28" customHeight="1">
      <c r="A12" s="6" t="n"/>
      <c r="B12" s="7" t="n"/>
      <c r="C12" s="7" t="n"/>
      <c r="D12" s="7" t="n"/>
      <c r="E12" s="7" t="n"/>
      <c r="F12" s="7" t="n"/>
      <c r="G12" s="7" t="n"/>
      <c r="H12" s="7" t="n"/>
      <c r="I12" s="8">
        <f>IF(OR(NOT(ISNUMBER(D12)),D12&lt;=0,NOT(ISNUMBER(E12))),"",E12/D12)</f>
        <v/>
      </c>
      <c r="J12" s="8">
        <f>IF(OR(NOT(ISNUMBER(D12)),D12&lt;=0,NOT(ISNUMBER(F12))),"",F12/D12)</f>
        <v/>
      </c>
      <c r="K12" s="8">
        <f>IF(OR(NOT(ISNUMBER(D12)),D12&lt;=0,NOT(ISNUMBER(G12))),"",G12/D12)</f>
        <v/>
      </c>
    </row>
    <row r="13" ht="28" customHeight="1">
      <c r="A13" s="6" t="n"/>
      <c r="B13" s="7" t="n"/>
      <c r="C13" s="7" t="n"/>
      <c r="D13" s="7" t="n"/>
      <c r="E13" s="7" t="n"/>
      <c r="F13" s="7" t="n"/>
      <c r="G13" s="7" t="n"/>
      <c r="H13" s="7" t="n"/>
      <c r="I13" s="8">
        <f>IF(OR(NOT(ISNUMBER(D13)),D13&lt;=0,NOT(ISNUMBER(E13))),"",E13/D13)</f>
        <v/>
      </c>
      <c r="J13" s="8">
        <f>IF(OR(NOT(ISNUMBER(D13)),D13&lt;=0,NOT(ISNUMBER(F13))),"",F13/D13)</f>
        <v/>
      </c>
      <c r="K13" s="8">
        <f>IF(OR(NOT(ISNUMBER(D13)),D13&lt;=0,NOT(ISNUMBER(G13))),"",G13/D13)</f>
        <v/>
      </c>
    </row>
    <row r="14" ht="28" customHeight="1">
      <c r="A14" s="6" t="n"/>
      <c r="B14" s="7" t="n"/>
      <c r="C14" s="7" t="n"/>
      <c r="D14" s="7" t="n"/>
      <c r="E14" s="7" t="n"/>
      <c r="F14" s="7" t="n"/>
      <c r="G14" s="7" t="n"/>
      <c r="H14" s="7" t="n"/>
      <c r="I14" s="8">
        <f>IF(OR(NOT(ISNUMBER(D14)),D14&lt;=0,NOT(ISNUMBER(E14))),"",E14/D14)</f>
        <v/>
      </c>
      <c r="J14" s="8">
        <f>IF(OR(NOT(ISNUMBER(D14)),D14&lt;=0,NOT(ISNUMBER(F14))),"",F14/D14)</f>
        <v/>
      </c>
      <c r="K14" s="8">
        <f>IF(OR(NOT(ISNUMBER(D14)),D14&lt;=0,NOT(ISNUMBER(G14))),"",G14/D14)</f>
        <v/>
      </c>
    </row>
    <row r="15" ht="28" customHeight="1">
      <c r="A15" s="6" t="n"/>
      <c r="B15" s="7" t="n"/>
      <c r="C15" s="7" t="n"/>
      <c r="D15" s="7" t="n"/>
      <c r="E15" s="7" t="n"/>
      <c r="F15" s="7" t="n"/>
      <c r="G15" s="7" t="n"/>
      <c r="H15" s="7" t="n"/>
      <c r="I15" s="8">
        <f>IF(OR(NOT(ISNUMBER(D15)),D15&lt;=0,NOT(ISNUMBER(E15))),"",E15/D15)</f>
        <v/>
      </c>
      <c r="J15" s="8">
        <f>IF(OR(NOT(ISNUMBER(D15)),D15&lt;=0,NOT(ISNUMBER(F15))),"",F15/D15)</f>
        <v/>
      </c>
      <c r="K15" s="8">
        <f>IF(OR(NOT(ISNUMBER(D15)),D15&lt;=0,NOT(ISNUMBER(G15))),"",G15/D15)</f>
        <v/>
      </c>
    </row>
    <row r="16" ht="28" customHeight="1">
      <c r="A16" s="6" t="n"/>
      <c r="B16" s="7" t="n"/>
      <c r="C16" s="7" t="n"/>
      <c r="D16" s="7" t="n"/>
      <c r="E16" s="7" t="n"/>
      <c r="F16" s="7" t="n"/>
      <c r="G16" s="7" t="n"/>
      <c r="H16" s="7" t="n"/>
      <c r="I16" s="8">
        <f>IF(OR(NOT(ISNUMBER(D16)),D16&lt;=0,NOT(ISNUMBER(E16))),"",E16/D16)</f>
        <v/>
      </c>
      <c r="J16" s="8">
        <f>IF(OR(NOT(ISNUMBER(D16)),D16&lt;=0,NOT(ISNUMBER(F16))),"",F16/D16)</f>
        <v/>
      </c>
      <c r="K16" s="8">
        <f>IF(OR(NOT(ISNUMBER(D16)),D16&lt;=0,NOT(ISNUMBER(G16))),"",G16/D16)</f>
        <v/>
      </c>
    </row>
    <row r="17" ht="28" customHeight="1">
      <c r="A17" s="6" t="n"/>
      <c r="B17" s="7" t="n"/>
      <c r="C17" s="7" t="n"/>
      <c r="D17" s="7" t="n"/>
      <c r="E17" s="7" t="n"/>
      <c r="F17" s="7" t="n"/>
      <c r="G17" s="7" t="n"/>
      <c r="H17" s="7" t="n"/>
      <c r="I17" s="8">
        <f>IF(OR(NOT(ISNUMBER(D17)),D17&lt;=0,NOT(ISNUMBER(E17))),"",E17/D17)</f>
        <v/>
      </c>
      <c r="J17" s="8">
        <f>IF(OR(NOT(ISNUMBER(D17)),D17&lt;=0,NOT(ISNUMBER(F17))),"",F17/D17)</f>
        <v/>
      </c>
      <c r="K17" s="8">
        <f>IF(OR(NOT(ISNUMBER(D17)),D17&lt;=0,NOT(ISNUMBER(G17))),"",G17/D17)</f>
        <v/>
      </c>
    </row>
    <row r="18" ht="28" customHeight="1">
      <c r="A18" s="6" t="n"/>
      <c r="B18" s="7" t="n"/>
      <c r="C18" s="7" t="n"/>
      <c r="D18" s="7" t="n"/>
      <c r="E18" s="7" t="n"/>
      <c r="F18" s="7" t="n"/>
      <c r="G18" s="7" t="n"/>
      <c r="H18" s="7" t="n"/>
      <c r="I18" s="8">
        <f>IF(OR(NOT(ISNUMBER(D18)),D18&lt;=0,NOT(ISNUMBER(E18))),"",E18/D18)</f>
        <v/>
      </c>
      <c r="J18" s="8">
        <f>IF(OR(NOT(ISNUMBER(D18)),D18&lt;=0,NOT(ISNUMBER(F18))),"",F18/D18)</f>
        <v/>
      </c>
      <c r="K18" s="8">
        <f>IF(OR(NOT(ISNUMBER(D18)),D18&lt;=0,NOT(ISNUMBER(G18))),"",G18/D18)</f>
        <v/>
      </c>
    </row>
    <row r="19" ht="28" customHeight="1">
      <c r="A19" s="6" t="n"/>
      <c r="B19" s="7" t="n"/>
      <c r="C19" s="7" t="n"/>
      <c r="D19" s="7" t="n"/>
      <c r="E19" s="7" t="n"/>
      <c r="F19" s="7" t="n"/>
      <c r="G19" s="7" t="n"/>
      <c r="H19" s="7" t="n"/>
      <c r="I19" s="8">
        <f>IF(OR(NOT(ISNUMBER(D19)),D19&lt;=0,NOT(ISNUMBER(E19))),"",E19/D19)</f>
        <v/>
      </c>
      <c r="J19" s="8">
        <f>IF(OR(NOT(ISNUMBER(D19)),D19&lt;=0,NOT(ISNUMBER(F19))),"",F19/D19)</f>
        <v/>
      </c>
      <c r="K19" s="8">
        <f>IF(OR(NOT(ISNUMBER(D19)),D19&lt;=0,NOT(ISNUMBER(G19))),"",G19/D19)</f>
        <v/>
      </c>
    </row>
    <row r="20" ht="28" customHeight="1">
      <c r="A20" s="6" t="n"/>
      <c r="B20" s="7" t="n"/>
      <c r="C20" s="7" t="n"/>
      <c r="D20" s="7" t="n"/>
      <c r="E20" s="7" t="n"/>
      <c r="F20" s="7" t="n"/>
      <c r="G20" s="7" t="n"/>
      <c r="H20" s="7" t="n"/>
      <c r="I20" s="8">
        <f>IF(OR(NOT(ISNUMBER(D20)),D20&lt;=0,NOT(ISNUMBER(E20))),"",E20/D20)</f>
        <v/>
      </c>
      <c r="J20" s="8">
        <f>IF(OR(NOT(ISNUMBER(D20)),D20&lt;=0,NOT(ISNUMBER(F20))),"",F20/D20)</f>
        <v/>
      </c>
      <c r="K20" s="8">
        <f>IF(OR(NOT(ISNUMBER(D20)),D20&lt;=0,NOT(ISNUMBER(G20))),"",G20/D20)</f>
        <v/>
      </c>
    </row>
    <row r="21" ht="28" customHeight="1">
      <c r="A21" s="6" t="n"/>
      <c r="B21" s="7" t="n"/>
      <c r="C21" s="7" t="n"/>
      <c r="D21" s="7" t="n"/>
      <c r="E21" s="7" t="n"/>
      <c r="F21" s="7" t="n"/>
      <c r="G21" s="7" t="n"/>
      <c r="H21" s="7" t="n"/>
      <c r="I21" s="8">
        <f>IF(OR(NOT(ISNUMBER(D21)),D21&lt;=0,NOT(ISNUMBER(E21))),"",E21/D21)</f>
        <v/>
      </c>
      <c r="J21" s="8">
        <f>IF(OR(NOT(ISNUMBER(D21)),D21&lt;=0,NOT(ISNUMBER(F21))),"",F21/D21)</f>
        <v/>
      </c>
      <c r="K21" s="8">
        <f>IF(OR(NOT(ISNUMBER(D21)),D21&lt;=0,NOT(ISNUMBER(G21))),"",G21/D21)</f>
        <v/>
      </c>
    </row>
    <row r="22" ht="28" customHeight="1">
      <c r="A22" s="6" t="n"/>
      <c r="B22" s="7" t="n"/>
      <c r="C22" s="7" t="n"/>
      <c r="D22" s="7" t="n"/>
      <c r="E22" s="7" t="n"/>
      <c r="F22" s="7" t="n"/>
      <c r="G22" s="7" t="n"/>
      <c r="H22" s="7" t="n"/>
      <c r="I22" s="8">
        <f>IF(OR(NOT(ISNUMBER(D22)),D22&lt;=0,NOT(ISNUMBER(E22))),"",E22/D22)</f>
        <v/>
      </c>
      <c r="J22" s="8">
        <f>IF(OR(NOT(ISNUMBER(D22)),D22&lt;=0,NOT(ISNUMBER(F22))),"",F22/D22)</f>
        <v/>
      </c>
      <c r="K22" s="8">
        <f>IF(OR(NOT(ISNUMBER(D22)),D22&lt;=0,NOT(ISNUMBER(G22))),"",G22/D22)</f>
        <v/>
      </c>
    </row>
    <row r="23" ht="28" customHeight="1">
      <c r="A23" s="6" t="n"/>
      <c r="B23" s="7" t="n"/>
      <c r="C23" s="7" t="n"/>
      <c r="D23" s="7" t="n"/>
      <c r="E23" s="7" t="n"/>
      <c r="F23" s="7" t="n"/>
      <c r="G23" s="7" t="n"/>
      <c r="H23" s="7" t="n"/>
      <c r="I23" s="8">
        <f>IF(OR(NOT(ISNUMBER(D23)),D23&lt;=0,NOT(ISNUMBER(E23))),"",E23/D23)</f>
        <v/>
      </c>
      <c r="J23" s="8">
        <f>IF(OR(NOT(ISNUMBER(D23)),D23&lt;=0,NOT(ISNUMBER(F23))),"",F23/D23)</f>
        <v/>
      </c>
      <c r="K23" s="8">
        <f>IF(OR(NOT(ISNUMBER(D23)),D23&lt;=0,NOT(ISNUMBER(G23))),"",G23/D23)</f>
        <v/>
      </c>
    </row>
    <row r="24" ht="28" customHeight="1">
      <c r="A24" s="6" t="n"/>
      <c r="B24" s="7" t="n"/>
      <c r="C24" s="7" t="n"/>
      <c r="D24" s="7" t="n"/>
      <c r="E24" s="7" t="n"/>
      <c r="F24" s="7" t="n"/>
      <c r="G24" s="7" t="n"/>
      <c r="H24" s="7" t="n"/>
      <c r="I24" s="8">
        <f>IF(OR(NOT(ISNUMBER(D24)),D24&lt;=0,NOT(ISNUMBER(E24))),"",E24/D24)</f>
        <v/>
      </c>
      <c r="J24" s="8">
        <f>IF(OR(NOT(ISNUMBER(D24)),D24&lt;=0,NOT(ISNUMBER(F24))),"",F24/D24)</f>
        <v/>
      </c>
      <c r="K24" s="8">
        <f>IF(OR(NOT(ISNUMBER(D24)),D24&lt;=0,NOT(ISNUMBER(G24))),"",G24/D24)</f>
        <v/>
      </c>
    </row>
    <row r="25" ht="28" customHeight="1">
      <c r="A25" s="6" t="n"/>
      <c r="B25" s="7" t="n"/>
      <c r="C25" s="7" t="n"/>
      <c r="D25" s="7" t="n"/>
      <c r="E25" s="7" t="n"/>
      <c r="F25" s="7" t="n"/>
      <c r="G25" s="7" t="n"/>
      <c r="H25" s="7" t="n"/>
      <c r="I25" s="8">
        <f>IF(OR(NOT(ISNUMBER(D25)),D25&lt;=0,NOT(ISNUMBER(E25))),"",E25/D25)</f>
        <v/>
      </c>
      <c r="J25" s="8">
        <f>IF(OR(NOT(ISNUMBER(D25)),D25&lt;=0,NOT(ISNUMBER(F25))),"",F25/D25)</f>
        <v/>
      </c>
      <c r="K25" s="8">
        <f>IF(OR(NOT(ISNUMBER(D25)),D25&lt;=0,NOT(ISNUMBER(G25))),"",G25/D25)</f>
        <v/>
      </c>
    </row>
    <row r="26" ht="28" customHeight="1">
      <c r="A26" s="6" t="n"/>
      <c r="B26" s="7" t="n"/>
      <c r="C26" s="7" t="n"/>
      <c r="D26" s="7" t="n"/>
      <c r="E26" s="7" t="n"/>
      <c r="F26" s="7" t="n"/>
      <c r="G26" s="7" t="n"/>
      <c r="H26" s="7" t="n"/>
      <c r="I26" s="8">
        <f>IF(OR(NOT(ISNUMBER(D26)),D26&lt;=0,NOT(ISNUMBER(E26))),"",E26/D26)</f>
        <v/>
      </c>
      <c r="J26" s="8">
        <f>IF(OR(NOT(ISNUMBER(D26)),D26&lt;=0,NOT(ISNUMBER(F26))),"",F26/D26)</f>
        <v/>
      </c>
      <c r="K26" s="8">
        <f>IF(OR(NOT(ISNUMBER(D26)),D26&lt;=0,NOT(ISNUMBER(G26))),"",G26/D26)</f>
        <v/>
      </c>
    </row>
    <row r="27" ht="28" customHeight="1">
      <c r="A27" s="6" t="n"/>
      <c r="B27" s="7" t="n"/>
      <c r="C27" s="7" t="n"/>
      <c r="D27" s="7" t="n"/>
      <c r="E27" s="7" t="n"/>
      <c r="F27" s="7" t="n"/>
      <c r="G27" s="7" t="n"/>
      <c r="H27" s="7" t="n"/>
      <c r="I27" s="8">
        <f>IF(OR(NOT(ISNUMBER(D27)),D27&lt;=0,NOT(ISNUMBER(E27))),"",E27/D27)</f>
        <v/>
      </c>
      <c r="J27" s="8">
        <f>IF(OR(NOT(ISNUMBER(D27)),D27&lt;=0,NOT(ISNUMBER(F27))),"",F27/D27)</f>
        <v/>
      </c>
      <c r="K27" s="8">
        <f>IF(OR(NOT(ISNUMBER(D27)),D27&lt;=0,NOT(ISNUMBER(G27))),"",G27/D27)</f>
        <v/>
      </c>
    </row>
    <row r="28" ht="28" customHeight="1">
      <c r="A28" s="6" t="n"/>
      <c r="B28" s="7" t="n"/>
      <c r="C28" s="7" t="n"/>
      <c r="D28" s="7" t="n"/>
      <c r="E28" s="7" t="n"/>
      <c r="F28" s="7" t="n"/>
      <c r="G28" s="7" t="n"/>
      <c r="H28" s="7" t="n"/>
      <c r="I28" s="8">
        <f>IF(OR(NOT(ISNUMBER(D28)),D28&lt;=0,NOT(ISNUMBER(E28))),"",E28/D28)</f>
        <v/>
      </c>
      <c r="J28" s="8">
        <f>IF(OR(NOT(ISNUMBER(D28)),D28&lt;=0,NOT(ISNUMBER(F28))),"",F28/D28)</f>
        <v/>
      </c>
      <c r="K28" s="8">
        <f>IF(OR(NOT(ISNUMBER(D28)),D28&lt;=0,NOT(ISNUMBER(G28))),"",G28/D28)</f>
        <v/>
      </c>
    </row>
  </sheetData>
  <dataValidations count="3">
    <dataValidation sqref="F3" showDropDown="0" showInputMessage="0" showErrorMessage="0" allowBlank="0" type="list">
      <formula1>"도달,조회"</formula1>
    </dataValidation>
    <dataValidation sqref="H3" showDropDown="0" showInputMessage="0" showErrorMessage="0" allowBlank="0" type="list">
      <formula1>"1,7,30"</formula1>
    </dataValidation>
    <dataValidation sqref="J3" showDropDown="0" showInputMessage="0" showErrorMessage="0" allowBlank="0" type="list">
      <formula1>"유료 없음,유료 포함,미확인"</formula1>
    </dataValidation>
  </dataValidation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2026-10-08T03:54:42Z</dcterms:created>
  <dcterms:modified xmlns:dcterms="http://purl.org/dc/terms/" xmlns:xsi="http://www.w3.org/2001/XMLSchema-instance" xsi:type="dcterms:W3CDTF">2026-10-08T14:36:35Z</dcterms:modified>
</cp:coreProperties>
</file>